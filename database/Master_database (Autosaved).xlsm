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updateLinks="always" codeName="ThisWorkbook" defaultThemeVersion="124226"/>
  <bookViews>
    <workbookView xWindow="0" yWindow="36" windowWidth="22980" windowHeight="9552" activeTab="4"/>
  </bookViews>
  <sheets>
    <sheet name="Registry!" sheetId="1" r:id="rId1"/>
    <sheet name="Settings" sheetId="3" r:id="rId2"/>
    <sheet name="Mark_Entry" sheetId="4" r:id="rId3"/>
    <sheet name="cLOUD_DATA" sheetId="5" r:id="rId4"/>
    <sheet name="HOME" sheetId="6" r:id="rId5"/>
    <sheet name="REPORTS" sheetId="7" r:id="rId6"/>
  </sheets>
  <externalReferences>
    <externalReference r:id="rId7"/>
  </externalReferences>
  <calcPr calcId="144525"/>
</workbook>
</file>

<file path=xl/calcChain.xml><?xml version="1.0" encoding="utf-8"?>
<calcChain xmlns="http://schemas.openxmlformats.org/spreadsheetml/2006/main">
  <c r="AD4" i="4" l="1"/>
  <c r="AD5" i="4"/>
  <c r="AD6" i="4"/>
  <c r="AD7" i="4"/>
  <c r="AD8" i="4"/>
  <c r="AD9" i="4"/>
  <c r="AD10" i="4"/>
  <c r="AD3" i="4"/>
  <c r="AC4" i="4"/>
  <c r="AC5" i="4"/>
  <c r="AC6" i="4"/>
  <c r="AC7" i="4"/>
  <c r="AC8" i="4"/>
  <c r="AC9" i="4"/>
  <c r="AC10" i="4"/>
  <c r="AB4" i="4"/>
  <c r="AB5" i="4"/>
  <c r="AB6" i="4"/>
  <c r="AB7" i="4"/>
  <c r="AB8" i="4"/>
  <c r="AB9" i="4"/>
  <c r="AB10" i="4"/>
  <c r="Z4" i="4"/>
  <c r="Z5" i="4"/>
  <c r="Z6" i="4"/>
  <c r="Z7" i="4"/>
  <c r="Z8" i="4"/>
  <c r="Z9" i="4"/>
  <c r="Z10" i="4"/>
  <c r="Y4" i="4"/>
  <c r="Y5" i="4"/>
  <c r="Y6" i="4"/>
  <c r="Y7" i="4"/>
  <c r="Y8" i="4"/>
  <c r="Y9" i="4"/>
  <c r="Y10" i="4"/>
  <c r="W4" i="4"/>
  <c r="W5" i="4"/>
  <c r="W6" i="4"/>
  <c r="W7" i="4"/>
  <c r="W8" i="4"/>
  <c r="W9" i="4"/>
  <c r="W10" i="4"/>
  <c r="V4" i="4"/>
  <c r="V5" i="4"/>
  <c r="V6" i="4"/>
  <c r="V7" i="4"/>
  <c r="V8" i="4"/>
  <c r="V9" i="4"/>
  <c r="V10" i="4"/>
  <c r="T4" i="4"/>
  <c r="T5" i="4"/>
  <c r="T6" i="4"/>
  <c r="T7" i="4"/>
  <c r="T8" i="4"/>
  <c r="T9" i="4"/>
  <c r="T10" i="4"/>
  <c r="S4" i="4"/>
  <c r="S5" i="4"/>
  <c r="S6" i="4"/>
  <c r="S7" i="4"/>
  <c r="S8" i="4"/>
  <c r="S9" i="4"/>
  <c r="S10" i="4"/>
  <c r="Q4" i="4"/>
  <c r="Q5" i="4"/>
  <c r="Q6" i="4"/>
  <c r="Q7" i="4"/>
  <c r="Q8" i="4"/>
  <c r="Q9" i="4"/>
  <c r="Q10" i="4"/>
  <c r="P4" i="4"/>
  <c r="P5" i="4"/>
  <c r="P6" i="4"/>
  <c r="P7" i="4"/>
  <c r="P8" i="4"/>
  <c r="P9" i="4"/>
  <c r="P10" i="4"/>
  <c r="N4" i="4"/>
  <c r="N5" i="4"/>
  <c r="N6" i="4"/>
  <c r="N7" i="4"/>
  <c r="N8" i="4"/>
  <c r="N9" i="4"/>
  <c r="N10" i="4"/>
  <c r="M4" i="4"/>
  <c r="M5" i="4"/>
  <c r="M6" i="4"/>
  <c r="M7" i="4"/>
  <c r="M8" i="4"/>
  <c r="M9" i="4"/>
  <c r="M10" i="4"/>
  <c r="K4" i="4"/>
  <c r="K5" i="4"/>
  <c r="K6" i="4"/>
  <c r="K7" i="4"/>
  <c r="K8" i="4"/>
  <c r="K9" i="4"/>
  <c r="K10" i="4"/>
  <c r="J4" i="4"/>
  <c r="J5" i="4"/>
  <c r="J6" i="4"/>
  <c r="J7" i="4"/>
  <c r="J8" i="4"/>
  <c r="J9" i="4"/>
  <c r="J10" i="4"/>
  <c r="J3" i="4"/>
  <c r="H4" i="4"/>
  <c r="H5" i="4"/>
  <c r="H6" i="4"/>
  <c r="H7" i="4"/>
  <c r="H8" i="4"/>
  <c r="H9" i="4"/>
  <c r="H10" i="4"/>
  <c r="G4" i="4"/>
  <c r="G5" i="4"/>
  <c r="G6" i="4"/>
  <c r="G7" i="4"/>
  <c r="G8" i="4"/>
  <c r="G9" i="4"/>
  <c r="G10" i="4"/>
  <c r="E4" i="4"/>
  <c r="E5" i="4"/>
  <c r="E6" i="4"/>
  <c r="E7" i="4"/>
  <c r="E8" i="4"/>
  <c r="E9" i="4"/>
  <c r="E10" i="4"/>
  <c r="D4" i="4"/>
  <c r="D5" i="4"/>
  <c r="D6" i="4"/>
  <c r="D7" i="4"/>
  <c r="D8" i="4"/>
  <c r="D9" i="4"/>
  <c r="D10" i="4"/>
  <c r="E3" i="4"/>
  <c r="AC3" i="4"/>
  <c r="Z3" i="4"/>
  <c r="W3" i="4"/>
  <c r="T3" i="4"/>
  <c r="Q3" i="4"/>
  <c r="N3" i="4"/>
  <c r="K3" i="4"/>
  <c r="H3" i="4"/>
  <c r="D3" i="4"/>
  <c r="AB3" i="4"/>
  <c r="Y3" i="4"/>
  <c r="V3" i="4"/>
  <c r="S3" i="4"/>
  <c r="P3" i="4"/>
  <c r="M3" i="4"/>
  <c r="G3" i="4"/>
</calcChain>
</file>

<file path=xl/sharedStrings.xml><?xml version="1.0" encoding="utf-8"?>
<sst xmlns="http://schemas.openxmlformats.org/spreadsheetml/2006/main" count="75" uniqueCount="40">
  <si>
    <t>M</t>
  </si>
  <si>
    <t>F</t>
  </si>
  <si>
    <t>EE1</t>
  </si>
  <si>
    <t>EE2</t>
  </si>
  <si>
    <t>ME1</t>
  </si>
  <si>
    <t>ME2</t>
  </si>
  <si>
    <t>AE1</t>
  </si>
  <si>
    <t>AE2</t>
  </si>
  <si>
    <t>BE1</t>
  </si>
  <si>
    <t>BE2</t>
  </si>
  <si>
    <t>rate</t>
  </si>
  <si>
    <t>Min Score (Col A)</t>
  </si>
  <si>
    <t>Level (Col B)</t>
  </si>
  <si>
    <t>Points (Col C)</t>
  </si>
  <si>
    <t>ADM NO</t>
  </si>
  <si>
    <t>NAME</t>
  </si>
  <si>
    <t>score</t>
  </si>
  <si>
    <t>points</t>
  </si>
  <si>
    <t>INTERGRATED SCIENCE</t>
  </si>
  <si>
    <t>KISWAHILI</t>
  </si>
  <si>
    <t>MATHEMATICS</t>
  </si>
  <si>
    <t>ENGLISH</t>
  </si>
  <si>
    <t>AGRICULTURE</t>
  </si>
  <si>
    <t>SOCIAL STUDIES</t>
  </si>
  <si>
    <t>CHRISTIAN RELIGIUS EDUCATION</t>
  </si>
  <si>
    <t>CREATIVE ARTS</t>
  </si>
  <si>
    <t>PRE-TECHNICAL</t>
  </si>
  <si>
    <t>TOTAL POINTS</t>
  </si>
  <si>
    <t>AVERAGE LEVEL</t>
  </si>
  <si>
    <t>GENDER</t>
  </si>
  <si>
    <t>GRADE</t>
  </si>
  <si>
    <t>STREAM</t>
  </si>
  <si>
    <t>PARENT CONTACT</t>
  </si>
  <si>
    <t>Melvina nyambura</t>
  </si>
  <si>
    <t>Aisha tracy</t>
  </si>
  <si>
    <t>Abel Bulimo</t>
  </si>
  <si>
    <t>Joseph Juma</t>
  </si>
  <si>
    <t>Michael Osiemo</t>
  </si>
  <si>
    <t>Samuel Mbugua</t>
  </si>
  <si>
    <t>Main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</si>
</sst>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1F1F1F"/>
      <name val="Arial"/>
      <family val="2"/>
    </font>
    <font>
      <b/>
      <sz val="11"/>
      <color rgb="FF1F1F1F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3" fillId="0" borderId="1" xfId="0" applyFont="1" applyBorder="1" applyAlignment="1">
      <alignment horizontal="left" vertical="center" wrapText="1" indent="1" readingOrder="1"/>
    </xf>
    <xf numFmtId="0" fontId="3" fillId="0" borderId="1" xfId="0" applyFont="1" applyBorder="1" applyAlignment="1">
      <alignment vertical="center" wrapText="1" readingOrder="1"/>
    </xf>
    <xf numFmtId="0" fontId="2" fillId="0" borderId="1" xfId="0" applyFont="1" applyBorder="1" applyAlignment="1">
      <alignment horizontal="left" vertical="center" wrapText="1" indent="1" readingOrder="1"/>
    </xf>
    <xf numFmtId="0" fontId="2" fillId="0" borderId="1" xfId="0" applyFont="1" applyBorder="1" applyAlignment="1">
      <alignment vertical="center" wrapText="1" readingOrder="1"/>
    </xf>
    <xf numFmtId="0" fontId="2" fillId="0" borderId="2" xfId="0" applyFont="1" applyBorder="1" applyAlignment="1">
      <alignment horizontal="left" vertical="center" wrapText="1" indent="1" readingOrder="1"/>
    </xf>
    <xf numFmtId="0" fontId="2" fillId="0" borderId="3" xfId="0" applyFont="1" applyBorder="1" applyAlignment="1">
      <alignment vertical="center" wrapText="1" readingOrder="1"/>
    </xf>
    <xf numFmtId="0" fontId="3" fillId="0" borderId="4" xfId="0" applyFont="1" applyBorder="1" applyAlignment="1">
      <alignment horizontal="left" vertical="center" wrapText="1" indent="1" readingOrder="1"/>
    </xf>
    <xf numFmtId="0" fontId="3" fillId="0" borderId="5" xfId="0" applyFont="1" applyBorder="1" applyAlignment="1">
      <alignment horizontal="left" vertical="center" wrapText="1" indent="1" readingOrder="1"/>
    </xf>
    <xf numFmtId="0" fontId="3" fillId="0" borderId="6" xfId="0" applyFont="1" applyBorder="1" applyAlignment="1">
      <alignment vertical="center" wrapText="1" readingOrder="1"/>
    </xf>
    <xf numFmtId="0" fontId="2" fillId="0" borderId="7" xfId="0" applyFont="1" applyBorder="1" applyAlignment="1">
      <alignment horizontal="left" vertical="center" wrapText="1" indent="1" readingOrder="1"/>
    </xf>
    <xf numFmtId="0" fontId="2" fillId="0" borderId="8" xfId="0" applyFont="1" applyBorder="1" applyAlignment="1">
      <alignment horizontal="left" vertical="center" wrapText="1" indent="1" readingOrder="1"/>
    </xf>
    <xf numFmtId="0" fontId="2" fillId="0" borderId="9" xfId="0" applyFont="1" applyBorder="1" applyAlignment="1">
      <alignment vertical="center" wrapText="1" readingOrder="1"/>
    </xf>
    <xf numFmtId="17" fontId="2" fillId="0" borderId="1" xfId="0" applyNumberFormat="1" applyFont="1" applyBorder="1" applyAlignment="1">
      <alignment vertical="center" wrapText="1" readingOrder="1"/>
    </xf>
    <xf numFmtId="0" fontId="1" fillId="0" borderId="0" xfId="0" applyFont="1"/>
    <xf numFmtId="0" fontId="0" fillId="2" borderId="0" xfId="0" applyFill="1"/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Settings!A1"/><Relationship Id="rId2" Type="http://schemas.openxmlformats.org/officeDocument/2006/relationships/hyperlink" Target="#Mark_Entry!A1"/><Relationship Id="rId1" Type="http://schemas.openxmlformats.org/officeDocument/2006/relationships/hyperlink" Target="#'Registry!'!A1"/><Relationship Id="rId4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0</xdr:rowOff>
    </xdr:from>
    <xdr:to>
      <xdr:col>8</xdr:col>
      <xdr:colOff>396240</xdr:colOff>
      <xdr:row>2</xdr:row>
      <xdr:rowOff>15240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6385560" y="190500"/>
          <a:ext cx="1005840" cy="373380"/>
        </a:xfrm>
        <a:prstGeom prst="roundRect">
          <a:avLst/>
        </a:prstGeom>
        <a:effectLst>
          <a:outerShdw blurRad="50800" dist="38100" algn="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600" b="1"/>
            <a:t>HOME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137160</xdr:colOff>
      <xdr:row>1</xdr:row>
      <xdr:rowOff>38100</xdr:rowOff>
    </xdr:from>
    <xdr:to>
      <xdr:col>5</xdr:col>
      <xdr:colOff>533400</xdr:colOff>
      <xdr:row>3</xdr:row>
      <xdr:rowOff>30480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3200400" y="571500"/>
          <a:ext cx="1005840" cy="373380"/>
        </a:xfrm>
        <a:prstGeom prst="roundRect">
          <a:avLst/>
        </a:prstGeom>
        <a:effectLst>
          <a:outerShdw blurRad="50800" dist="38100" algn="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600" b="1"/>
            <a:t>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0</xdr:colOff>
      <xdr:row>1</xdr:row>
      <xdr:rowOff>0</xdr:rowOff>
    </xdr:from>
    <xdr:to>
      <xdr:col>32</xdr:col>
      <xdr:colOff>396240</xdr:colOff>
      <xdr:row>3</xdr:row>
      <xdr:rowOff>7620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20726400" y="182880"/>
          <a:ext cx="1005840" cy="373380"/>
        </a:xfrm>
        <a:prstGeom prst="roundRect">
          <a:avLst/>
        </a:prstGeom>
        <a:effectLst>
          <a:outerShdw blurRad="50800" dist="38100" algn="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600" b="1"/>
            <a:t>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160020</xdr:colOff>
      <xdr:row>0</xdr:row>
      <xdr:rowOff>60960</xdr:rowOff>
    </xdr:from>
    <xdr:to>
      <xdr:col>22</xdr:col>
      <xdr:colOff>198120</xdr:colOff>
      <xdr:row>4</xdr:row>
      <xdr:rowOff>137160</xdr:rowOff>
    </xdr:to>
    <xdr:sp macro="" textlink="">
      <xdr:nvSpPr>
        <xdr:cNvPr id="2" name="Rounded Rectangle 1"/>
        <xdr:cNvSpPr/>
      </xdr:nvSpPr>
      <xdr:spPr>
        <a:xfrm>
          <a:off x="1379220" y="60960"/>
          <a:ext cx="12230100" cy="807720"/>
        </a:xfrm>
        <a:prstGeom prst="roundRect">
          <a:avLst/>
        </a:prstGeom>
        <a:gradFill>
          <a:gsLst>
            <a:gs pos="0">
              <a:schemeClr val="tx2">
                <a:lumMod val="5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7</xdr:col>
      <xdr:colOff>396240</xdr:colOff>
      <xdr:row>1</xdr:row>
      <xdr:rowOff>91440</xdr:rowOff>
    </xdr:from>
    <xdr:to>
      <xdr:col>17</xdr:col>
      <xdr:colOff>167640</xdr:colOff>
      <xdr:row>3</xdr:row>
      <xdr:rowOff>91440</xdr:rowOff>
    </xdr:to>
    <xdr:sp macro="" textlink="">
      <xdr:nvSpPr>
        <xdr:cNvPr id="3" name="TextBox 2"/>
        <xdr:cNvSpPr txBox="1"/>
      </xdr:nvSpPr>
      <xdr:spPr>
        <a:xfrm>
          <a:off x="4663440" y="274320"/>
          <a:ext cx="5867400" cy="3657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600" b="1">
              <a:latin typeface="Impact" pitchFamily="34" charset="0"/>
            </a:rPr>
            <a:t>FREEMAN TECH SOLUTIONS : ACADEMIC MANAGEMENT</a:t>
          </a:r>
          <a:r>
            <a:rPr lang="en-GB" sz="1600" b="1" baseline="0">
              <a:latin typeface="Impact" pitchFamily="34" charset="0"/>
            </a:rPr>
            <a:t> SYSTEM</a:t>
          </a:r>
          <a:endParaRPr lang="en-GB" sz="1600" b="1">
            <a:latin typeface="Impact" pitchFamily="34" charset="0"/>
          </a:endParaRPr>
        </a:p>
      </xdr:txBody>
    </xdr:sp>
    <xdr:clientData/>
  </xdr:twoCellAnchor>
  <xdr:twoCellAnchor>
    <xdr:from>
      <xdr:col>5</xdr:col>
      <xdr:colOff>472440</xdr:colOff>
      <xdr:row>8</xdr:row>
      <xdr:rowOff>15240</xdr:rowOff>
    </xdr:from>
    <xdr:to>
      <xdr:col>17</xdr:col>
      <xdr:colOff>327660</xdr:colOff>
      <xdr:row>11</xdr:row>
      <xdr:rowOff>0</xdr:rowOff>
    </xdr:to>
    <xdr:sp macro="" textlink="">
      <xdr:nvSpPr>
        <xdr:cNvPr id="4" name="Rounded Rectangle 3">
          <a:hlinkClick xmlns:r="http://schemas.openxmlformats.org/officeDocument/2006/relationships" r:id="rId1"/>
        </xdr:cNvPr>
        <xdr:cNvSpPr/>
      </xdr:nvSpPr>
      <xdr:spPr>
        <a:xfrm>
          <a:off x="3520440" y="1478280"/>
          <a:ext cx="7170420" cy="533400"/>
        </a:xfrm>
        <a:prstGeom prst="roundRect">
          <a:avLst/>
        </a:prstGeom>
        <a:effectLst>
          <a:outerShdw blurRad="50800" dist="38100" algn="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600" b="1">
              <a:latin typeface="Times New Roman" pitchFamily="18" charset="0"/>
              <a:cs typeface="Times New Roman" pitchFamily="18" charset="0"/>
            </a:rPr>
            <a:t>REGISTER STUDENTS</a:t>
          </a:r>
        </a:p>
      </xdr:txBody>
    </xdr:sp>
    <xdr:clientData/>
  </xdr:twoCellAnchor>
  <xdr:twoCellAnchor>
    <xdr:from>
      <xdr:col>5</xdr:col>
      <xdr:colOff>525780</xdr:colOff>
      <xdr:row>15</xdr:row>
      <xdr:rowOff>144780</xdr:rowOff>
    </xdr:from>
    <xdr:to>
      <xdr:col>17</xdr:col>
      <xdr:colOff>312420</xdr:colOff>
      <xdr:row>18</xdr:row>
      <xdr:rowOff>114300</xdr:rowOff>
    </xdr:to>
    <xdr:sp macro="" textlink="">
      <xdr:nvSpPr>
        <xdr:cNvPr id="5" name="Rounded Rectangle 4">
          <a:hlinkClick xmlns:r="http://schemas.openxmlformats.org/officeDocument/2006/relationships" r:id="rId2"/>
        </xdr:cNvPr>
        <xdr:cNvSpPr/>
      </xdr:nvSpPr>
      <xdr:spPr>
        <a:xfrm>
          <a:off x="3573780" y="2887980"/>
          <a:ext cx="7101840" cy="518160"/>
        </a:xfrm>
        <a:prstGeom prst="roundRect">
          <a:avLst/>
        </a:prstGeom>
        <a:effectLst>
          <a:outerShdw blurRad="50800" dist="38100" algn="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600" b="1">
              <a:latin typeface="Times New Roman" pitchFamily="18" charset="0"/>
              <a:cs typeface="Times New Roman" pitchFamily="18" charset="0"/>
            </a:rPr>
            <a:t>MARK ENTRY</a:t>
          </a:r>
        </a:p>
      </xdr:txBody>
    </xdr:sp>
    <xdr:clientData/>
  </xdr:twoCellAnchor>
  <xdr:twoCellAnchor>
    <xdr:from>
      <xdr:col>5</xdr:col>
      <xdr:colOff>525780</xdr:colOff>
      <xdr:row>22</xdr:row>
      <xdr:rowOff>160020</xdr:rowOff>
    </xdr:from>
    <xdr:to>
      <xdr:col>17</xdr:col>
      <xdr:colOff>365760</xdr:colOff>
      <xdr:row>25</xdr:row>
      <xdr:rowOff>60960</xdr:rowOff>
    </xdr:to>
    <xdr:sp macro="" textlink="">
      <xdr:nvSpPr>
        <xdr:cNvPr id="6" name="Rounded Rectangle 5"/>
        <xdr:cNvSpPr/>
      </xdr:nvSpPr>
      <xdr:spPr>
        <a:xfrm>
          <a:off x="3573780" y="4183380"/>
          <a:ext cx="7155180" cy="449580"/>
        </a:xfrm>
        <a:prstGeom prst="roundRect">
          <a:avLst/>
        </a:prstGeom>
        <a:effectLst>
          <a:outerShdw blurRad="50800" dist="38100" algn="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600" b="1">
              <a:latin typeface="Times New Roman" pitchFamily="18" charset="0"/>
              <a:cs typeface="Times New Roman" pitchFamily="18" charset="0"/>
            </a:rPr>
            <a:t>VIEW REPORTS</a:t>
          </a:r>
        </a:p>
      </xdr:txBody>
    </xdr:sp>
    <xdr:clientData/>
  </xdr:twoCellAnchor>
  <xdr:twoCellAnchor>
    <xdr:from>
      <xdr:col>5</xdr:col>
      <xdr:colOff>525780</xdr:colOff>
      <xdr:row>29</xdr:row>
      <xdr:rowOff>121920</xdr:rowOff>
    </xdr:from>
    <xdr:to>
      <xdr:col>17</xdr:col>
      <xdr:colOff>403860</xdr:colOff>
      <xdr:row>32</xdr:row>
      <xdr:rowOff>0</xdr:rowOff>
    </xdr:to>
    <xdr:sp macro="" textlink="">
      <xdr:nvSpPr>
        <xdr:cNvPr id="7" name="Rounded Rectangle 6">
          <a:hlinkClick xmlns:r="http://schemas.openxmlformats.org/officeDocument/2006/relationships" r:id="rId3"/>
        </xdr:cNvPr>
        <xdr:cNvSpPr/>
      </xdr:nvSpPr>
      <xdr:spPr>
        <a:xfrm>
          <a:off x="3573780" y="5425440"/>
          <a:ext cx="7193280" cy="426720"/>
        </a:xfrm>
        <a:prstGeom prst="roundRect">
          <a:avLst/>
        </a:prstGeom>
        <a:effectLst>
          <a:outerShdw blurRad="50800" dist="38100" algn="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600" b="1">
              <a:latin typeface="Times New Roman" pitchFamily="18" charset="0"/>
              <a:cs typeface="Times New Roman" pitchFamily="18" charset="0"/>
            </a:rPr>
            <a:t>GRADING</a:t>
          </a:r>
          <a:r>
            <a:rPr lang="en-GB" sz="1600" b="1" baseline="0">
              <a:latin typeface="Times New Roman" pitchFamily="18" charset="0"/>
              <a:cs typeface="Times New Roman" pitchFamily="18" charset="0"/>
            </a:rPr>
            <a:t> SCALE</a:t>
          </a:r>
          <a:endParaRPr lang="en-GB" sz="1600" b="1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19</xdr:col>
      <xdr:colOff>0</xdr:colOff>
      <xdr:row>4</xdr:row>
      <xdr:rowOff>137160</xdr:rowOff>
    </xdr:from>
    <xdr:to>
      <xdr:col>22</xdr:col>
      <xdr:colOff>129540</xdr:colOff>
      <xdr:row>6</xdr:row>
      <xdr:rowOff>0</xdr:rowOff>
    </xdr:to>
    <xdr:sp macro="[1]!ThisWorkbook.FindStudent" textlink="">
      <xdr:nvSpPr>
        <xdr:cNvPr id="8" name="Rounded Rectangle 7"/>
        <xdr:cNvSpPr/>
      </xdr:nvSpPr>
      <xdr:spPr>
        <a:xfrm>
          <a:off x="11582400" y="868680"/>
          <a:ext cx="1958340" cy="228600"/>
        </a:xfrm>
        <a:prstGeom prst="roundRect">
          <a:avLst/>
        </a:prstGeom>
        <a:solidFill>
          <a:sysClr val="window" lastClr="FFFFFF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ysClr val="windowText" lastClr="000000"/>
              </a:solidFill>
            </a:rPr>
            <a:t>find</a:t>
          </a:r>
          <a:r>
            <a:rPr lang="en-GB" sz="1100" baseline="0">
              <a:solidFill>
                <a:sysClr val="windowText" lastClr="000000"/>
              </a:solidFill>
            </a:rPr>
            <a:t> students</a:t>
          </a:r>
          <a:endParaRPr lang="en-GB" sz="11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21</xdr:col>
      <xdr:colOff>518160</xdr:colOff>
      <xdr:row>4</xdr:row>
      <xdr:rowOff>152400</xdr:rowOff>
    </xdr:from>
    <xdr:to>
      <xdr:col>22</xdr:col>
      <xdr:colOff>99060</xdr:colOff>
      <xdr:row>5</xdr:row>
      <xdr:rowOff>160020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19760" y="883920"/>
          <a:ext cx="190500" cy="1905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aster_databas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  <sheetName val="Master_database"/>
    </sheetNames>
    <definedNames>
      <definedName name="ThisWorkbook.FindStudent"/>
    </definedNames>
    <sheetDataSet>
      <sheetData sheetId="0"/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7"/>
  <sheetViews>
    <sheetView workbookViewId="0">
      <selection activeCell="I8" sqref="I8"/>
    </sheetView>
  </sheetViews>
  <sheetFormatPr defaultRowHeight="14.4" x14ac:dyDescent="0.3"/>
  <cols>
    <col min="1" max="1" width="12.88671875" customWidth="1"/>
    <col min="2" max="2" width="18.33203125" customWidth="1"/>
    <col min="3" max="3" width="11.44140625" customWidth="1"/>
    <col min="4" max="4" width="10.21875" customWidth="1"/>
    <col min="5" max="5" width="11.21875" customWidth="1"/>
    <col min="6" max="6" width="20.109375" customWidth="1"/>
  </cols>
  <sheetData>
    <row r="1" spans="1:6" ht="15" thickBot="1" x14ac:dyDescent="0.35">
      <c r="A1" s="7" t="s">
        <v>14</v>
      </c>
      <c r="B1" s="8" t="s">
        <v>15</v>
      </c>
      <c r="C1" s="8" t="s">
        <v>29</v>
      </c>
      <c r="D1" s="8" t="s">
        <v>30</v>
      </c>
      <c r="E1" s="8" t="s">
        <v>31</v>
      </c>
      <c r="F1" s="9" t="s">
        <v>32</v>
      </c>
    </row>
    <row r="2" spans="1:6" ht="28.2" thickBot="1" x14ac:dyDescent="0.35">
      <c r="A2" s="5">
        <v>1001</v>
      </c>
      <c r="B2" s="3" t="s">
        <v>33</v>
      </c>
      <c r="C2" s="3" t="s">
        <v>1</v>
      </c>
      <c r="D2" s="3">
        <v>8</v>
      </c>
      <c r="E2" s="3" t="s">
        <v>39</v>
      </c>
      <c r="F2" s="6">
        <v>7875869485</v>
      </c>
    </row>
    <row r="3" spans="1:6" ht="15" thickBot="1" x14ac:dyDescent="0.35">
      <c r="A3" s="10">
        <v>1002</v>
      </c>
      <c r="B3" s="11" t="s">
        <v>34</v>
      </c>
      <c r="C3" s="11" t="s">
        <v>1</v>
      </c>
      <c r="D3" s="11">
        <v>8</v>
      </c>
      <c r="E3" s="3" t="s">
        <v>39</v>
      </c>
      <c r="F3" s="12">
        <v>785847594</v>
      </c>
    </row>
    <row r="4" spans="1:6" ht="15" thickBot="1" x14ac:dyDescent="0.35">
      <c r="A4" s="10">
        <v>1003</v>
      </c>
      <c r="B4" t="s">
        <v>35</v>
      </c>
      <c r="C4" t="s">
        <v>0</v>
      </c>
      <c r="D4" s="11">
        <v>8</v>
      </c>
      <c r="E4" s="3" t="s">
        <v>39</v>
      </c>
      <c r="F4">
        <v>745211448</v>
      </c>
    </row>
    <row r="5" spans="1:6" ht="15" thickBot="1" x14ac:dyDescent="0.35">
      <c r="A5" s="10">
        <v>1004</v>
      </c>
      <c r="B5" t="s">
        <v>36</v>
      </c>
      <c r="C5" t="s">
        <v>0</v>
      </c>
      <c r="D5" s="11">
        <v>8</v>
      </c>
      <c r="E5" s="3" t="s">
        <v>39</v>
      </c>
      <c r="F5">
        <v>70603818718</v>
      </c>
    </row>
    <row r="6" spans="1:6" ht="15" thickBot="1" x14ac:dyDescent="0.35">
      <c r="A6" s="10">
        <v>1005</v>
      </c>
      <c r="B6" t="s">
        <v>37</v>
      </c>
      <c r="C6" t="s">
        <v>0</v>
      </c>
      <c r="D6" s="11">
        <v>8</v>
      </c>
      <c r="E6" s="3" t="s">
        <v>39</v>
      </c>
      <c r="F6">
        <v>106126676</v>
      </c>
    </row>
    <row r="7" spans="1:6" ht="15" thickBot="1" x14ac:dyDescent="0.35">
      <c r="A7" s="10">
        <v>1006</v>
      </c>
      <c r="B7" t="s">
        <v>38</v>
      </c>
      <c r="C7" t="s">
        <v>0</v>
      </c>
      <c r="D7" s="11">
        <v>8</v>
      </c>
      <c r="E7" s="3" t="s">
        <v>39</v>
      </c>
      <c r="F7">
        <v>117242480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9"/>
  <sheetViews>
    <sheetView workbookViewId="0">
      <selection activeCell="F9" sqref="F9"/>
    </sheetView>
  </sheetViews>
  <sheetFormatPr defaultRowHeight="14.4" x14ac:dyDescent="0.3"/>
  <cols>
    <col min="4" max="4" width="18" customWidth="1"/>
  </cols>
  <sheetData>
    <row r="1" spans="1:4" ht="42" thickBot="1" x14ac:dyDescent="0.35">
      <c r="A1" s="1" t="s">
        <v>11</v>
      </c>
      <c r="B1" s="1" t="s">
        <v>12</v>
      </c>
      <c r="C1" s="2" t="s">
        <v>13</v>
      </c>
      <c r="D1" s="2"/>
    </row>
    <row r="2" spans="1:4" ht="15" thickBot="1" x14ac:dyDescent="0.35">
      <c r="A2" s="3">
        <v>1</v>
      </c>
      <c r="B2" s="3" t="s">
        <v>9</v>
      </c>
      <c r="C2" s="4">
        <v>1</v>
      </c>
      <c r="D2" s="4"/>
    </row>
    <row r="3" spans="1:4" ht="15" thickBot="1" x14ac:dyDescent="0.35">
      <c r="A3" s="3">
        <v>11</v>
      </c>
      <c r="B3" s="3" t="s">
        <v>8</v>
      </c>
      <c r="C3" s="4">
        <v>2</v>
      </c>
      <c r="D3" s="4"/>
    </row>
    <row r="4" spans="1:4" ht="15" thickBot="1" x14ac:dyDescent="0.35">
      <c r="A4" s="3">
        <v>21</v>
      </c>
      <c r="B4" s="3" t="s">
        <v>7</v>
      </c>
      <c r="C4" s="4">
        <v>3</v>
      </c>
      <c r="D4" s="4"/>
    </row>
    <row r="5" spans="1:4" ht="15" thickBot="1" x14ac:dyDescent="0.35">
      <c r="A5" s="3">
        <v>31</v>
      </c>
      <c r="B5" s="3" t="s">
        <v>6</v>
      </c>
      <c r="C5" s="4">
        <v>4</v>
      </c>
      <c r="D5" s="4"/>
    </row>
    <row r="6" spans="1:4" ht="15" thickBot="1" x14ac:dyDescent="0.35">
      <c r="A6" s="3">
        <v>41</v>
      </c>
      <c r="B6" s="3" t="s">
        <v>5</v>
      </c>
      <c r="C6" s="4">
        <v>5</v>
      </c>
      <c r="D6" s="4"/>
    </row>
    <row r="7" spans="1:4" ht="15" thickBot="1" x14ac:dyDescent="0.35">
      <c r="A7" s="3">
        <v>58</v>
      </c>
      <c r="B7" s="3" t="s">
        <v>4</v>
      </c>
      <c r="C7" s="4">
        <v>6</v>
      </c>
      <c r="D7" s="4"/>
    </row>
    <row r="8" spans="1:4" ht="15" thickBot="1" x14ac:dyDescent="0.35">
      <c r="A8" s="3">
        <v>75</v>
      </c>
      <c r="B8" s="3" t="s">
        <v>3</v>
      </c>
      <c r="C8" s="4">
        <v>7</v>
      </c>
      <c r="D8" s="4"/>
    </row>
    <row r="9" spans="1:4" ht="15" thickBot="1" x14ac:dyDescent="0.35">
      <c r="A9" s="3">
        <v>90</v>
      </c>
      <c r="B9" s="3" t="s">
        <v>2</v>
      </c>
      <c r="C9" s="4">
        <v>8</v>
      </c>
      <c r="D9" s="13"/>
    </row>
  </sheetData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E10"/>
  <sheetViews>
    <sheetView topLeftCell="N1" workbookViewId="0"/>
  </sheetViews>
  <sheetFormatPr defaultRowHeight="14.4" x14ac:dyDescent="0.3"/>
  <cols>
    <col min="2" max="2" width="25" customWidth="1"/>
    <col min="23" max="23" width="10.21875" customWidth="1"/>
    <col min="30" max="30" width="12.88671875" customWidth="1"/>
    <col min="31" max="31" width="14.109375" customWidth="1"/>
  </cols>
  <sheetData>
    <row r="1" spans="1:31" x14ac:dyDescent="0.3">
      <c r="A1" s="14" t="s">
        <v>14</v>
      </c>
      <c r="B1" s="14" t="s">
        <v>15</v>
      </c>
      <c r="C1" s="16" t="s">
        <v>21</v>
      </c>
      <c r="D1" s="16"/>
      <c r="E1" s="16"/>
      <c r="F1" s="16" t="s">
        <v>20</v>
      </c>
      <c r="G1" s="16"/>
      <c r="H1" s="16"/>
      <c r="I1" s="16" t="s">
        <v>19</v>
      </c>
      <c r="J1" s="16"/>
      <c r="K1" s="16"/>
      <c r="L1" s="16" t="s">
        <v>18</v>
      </c>
      <c r="M1" s="16"/>
      <c r="N1" s="16"/>
      <c r="O1" s="16" t="s">
        <v>22</v>
      </c>
      <c r="P1" s="16"/>
      <c r="Q1" s="16"/>
      <c r="R1" s="16" t="s">
        <v>23</v>
      </c>
      <c r="S1" s="16"/>
      <c r="T1" s="16"/>
      <c r="U1" s="16" t="s">
        <v>24</v>
      </c>
      <c r="V1" s="16"/>
      <c r="W1" s="16"/>
      <c r="X1" s="16" t="s">
        <v>25</v>
      </c>
      <c r="Y1" s="16"/>
      <c r="Z1" s="16"/>
      <c r="AA1" s="16" t="s">
        <v>26</v>
      </c>
      <c r="AB1" s="16"/>
      <c r="AC1" s="16"/>
      <c r="AD1" s="14" t="s">
        <v>27</v>
      </c>
      <c r="AE1" s="14" t="s">
        <v>28</v>
      </c>
    </row>
    <row r="2" spans="1:31" x14ac:dyDescent="0.3">
      <c r="C2" s="14" t="s">
        <v>16</v>
      </c>
      <c r="D2" s="14" t="s">
        <v>10</v>
      </c>
      <c r="E2" s="14" t="s">
        <v>17</v>
      </c>
      <c r="F2" s="14" t="s">
        <v>16</v>
      </c>
      <c r="G2" s="14" t="s">
        <v>10</v>
      </c>
      <c r="H2" s="14" t="s">
        <v>17</v>
      </c>
      <c r="I2" s="14" t="s">
        <v>16</v>
      </c>
      <c r="J2" s="14" t="s">
        <v>10</v>
      </c>
      <c r="K2" s="14" t="s">
        <v>17</v>
      </c>
      <c r="L2" s="14" t="s">
        <v>16</v>
      </c>
      <c r="M2" s="14" t="s">
        <v>10</v>
      </c>
      <c r="N2" s="14" t="s">
        <v>17</v>
      </c>
      <c r="O2" s="14" t="s">
        <v>16</v>
      </c>
      <c r="P2" s="14" t="s">
        <v>10</v>
      </c>
      <c r="Q2" s="14" t="s">
        <v>17</v>
      </c>
      <c r="R2" s="14" t="s">
        <v>16</v>
      </c>
      <c r="S2" s="14" t="s">
        <v>10</v>
      </c>
      <c r="T2" s="14" t="s">
        <v>17</v>
      </c>
      <c r="U2" s="14" t="s">
        <v>16</v>
      </c>
      <c r="V2" s="14" t="s">
        <v>10</v>
      </c>
      <c r="W2" s="14" t="s">
        <v>17</v>
      </c>
      <c r="X2" s="14" t="s">
        <v>16</v>
      </c>
      <c r="Y2" s="14" t="s">
        <v>10</v>
      </c>
      <c r="Z2" s="14" t="s">
        <v>17</v>
      </c>
      <c r="AA2" s="14" t="s">
        <v>16</v>
      </c>
      <c r="AB2" s="14" t="s">
        <v>10</v>
      </c>
      <c r="AC2" s="14" t="s">
        <v>17</v>
      </c>
    </row>
    <row r="3" spans="1:31" x14ac:dyDescent="0.3">
      <c r="D3" t="e">
        <f>VLOOKUP(C3, Settings!$A$2:$C$9, 2, TRUE)</f>
        <v>#N/A</v>
      </c>
      <c r="E3" t="e">
        <f>VLOOKUP(C3, Settings!$A$2:$C$9, 3, TRUE)</f>
        <v>#N/A</v>
      </c>
      <c r="G3" t="e">
        <f>VLOOKUP(F3, Settings!$A$2:$C$9, 2, TRUE)</f>
        <v>#N/A</v>
      </c>
      <c r="H3" t="e">
        <f>VLOOKUP(F3, Settings!$A$2:$C$9, 3, TRUE)</f>
        <v>#N/A</v>
      </c>
      <c r="J3" t="e">
        <f>VLOOKUP(I3, Settings!$A$2:$C$9, 2, TRUE)</f>
        <v>#N/A</v>
      </c>
      <c r="K3" t="e">
        <f>VLOOKUP(I3, Settings!$A$2:$C$9, 3, TRUE)</f>
        <v>#N/A</v>
      </c>
      <c r="M3" t="e">
        <f>VLOOKUP(L3, Settings!$A$2:$C$9, 2, TRUE)</f>
        <v>#N/A</v>
      </c>
      <c r="N3" t="e">
        <f>VLOOKUP(L3, Settings!$A$2:$C$9, 3, TRUE)</f>
        <v>#N/A</v>
      </c>
      <c r="P3" t="e">
        <f>VLOOKUP(O3, Settings!$A$2:$C$9, 2, TRUE)</f>
        <v>#N/A</v>
      </c>
      <c r="Q3" t="e">
        <f>VLOOKUP(O3, Settings!$A$2:$C$9, 3, TRUE)</f>
        <v>#N/A</v>
      </c>
      <c r="S3" t="e">
        <f>VLOOKUP(R3, Settings!$A$2:$C$9, 2, TRUE)</f>
        <v>#N/A</v>
      </c>
      <c r="T3" t="e">
        <f>VLOOKUP(R3, Settings!$A$2:$C$9, 3, TRUE)</f>
        <v>#N/A</v>
      </c>
      <c r="V3" t="e">
        <f>VLOOKUP(U3, Settings!$A$2:$C$9, 2, TRUE)</f>
        <v>#N/A</v>
      </c>
      <c r="W3" t="e">
        <f>VLOOKUP(U3, Settings!$A$2:$C$9, 3, TRUE)</f>
        <v>#N/A</v>
      </c>
      <c r="Y3" t="e">
        <f>VLOOKUP(X3, Settings!$A$2:$C$9, 2, TRUE)</f>
        <v>#N/A</v>
      </c>
      <c r="Z3" t="e">
        <f>VLOOKUP(X3, Settings!$A$2:$C$9, 3, TRUE)</f>
        <v>#N/A</v>
      </c>
      <c r="AB3" t="e">
        <f>VLOOKUP(AA3, Settings!$A$2:$C$9, 2, TRUE)</f>
        <v>#N/A</v>
      </c>
      <c r="AC3" t="e">
        <f>VLOOKUP(AA3, Settings!$A$2:$C$9, 3, TRUE)</f>
        <v>#N/A</v>
      </c>
      <c r="AD3" t="e">
        <f>SUM(N3,Q3,T3,W3,Z3,AC3)</f>
        <v>#N/A</v>
      </c>
    </row>
    <row r="4" spans="1:31" x14ac:dyDescent="0.3">
      <c r="D4" t="e">
        <f>VLOOKUP(C4, Settings!$A$2:$C$9, 2, TRUE)</f>
        <v>#N/A</v>
      </c>
      <c r="E4" t="e">
        <f>VLOOKUP(C4, Settings!$A$2:$C$9, 3, TRUE)</f>
        <v>#N/A</v>
      </c>
      <c r="G4" t="e">
        <f>VLOOKUP(F4, Settings!$A$2:$C$9, 2, TRUE)</f>
        <v>#N/A</v>
      </c>
      <c r="H4" t="e">
        <f>VLOOKUP(F4, Settings!$A$2:$C$9, 3, TRUE)</f>
        <v>#N/A</v>
      </c>
      <c r="J4" t="e">
        <f>VLOOKUP(I4, Settings!$A$2:$C$9, 2, TRUE)</f>
        <v>#N/A</v>
      </c>
      <c r="K4" t="e">
        <f>VLOOKUP(I4, Settings!$A$2:$C$9, 3, TRUE)</f>
        <v>#N/A</v>
      </c>
      <c r="M4" t="e">
        <f>VLOOKUP(L4, Settings!$A$2:$C$9, 2, TRUE)</f>
        <v>#N/A</v>
      </c>
      <c r="N4" t="e">
        <f>VLOOKUP(L4, Settings!$A$2:$C$9, 3, TRUE)</f>
        <v>#N/A</v>
      </c>
      <c r="P4" t="e">
        <f>VLOOKUP(O4, Settings!$A$2:$C$9, 2, TRUE)</f>
        <v>#N/A</v>
      </c>
      <c r="Q4" t="e">
        <f>VLOOKUP(O4, Settings!$A$2:$C$9, 3, TRUE)</f>
        <v>#N/A</v>
      </c>
      <c r="S4" t="e">
        <f>VLOOKUP(R4, Settings!$A$2:$C$9, 2, TRUE)</f>
        <v>#N/A</v>
      </c>
      <c r="T4" t="e">
        <f>VLOOKUP(R4, Settings!$A$2:$C$9, 3, TRUE)</f>
        <v>#N/A</v>
      </c>
      <c r="V4" t="e">
        <f>VLOOKUP(U4, Settings!$A$2:$C$9, 2, TRUE)</f>
        <v>#N/A</v>
      </c>
      <c r="W4" t="e">
        <f>VLOOKUP(U4, Settings!$A$2:$C$9, 3, TRUE)</f>
        <v>#N/A</v>
      </c>
      <c r="Y4" t="e">
        <f>VLOOKUP(X4, Settings!$A$2:$C$9, 2, TRUE)</f>
        <v>#N/A</v>
      </c>
      <c r="Z4" t="e">
        <f>VLOOKUP(X4, Settings!$A$2:$C$9, 3, TRUE)</f>
        <v>#N/A</v>
      </c>
      <c r="AB4" t="e">
        <f>VLOOKUP(AA4, Settings!$A$2:$C$9, 2, TRUE)</f>
        <v>#N/A</v>
      </c>
      <c r="AC4" t="e">
        <f>VLOOKUP(AA4, Settings!$A$2:$C$9, 3, TRUE)</f>
        <v>#N/A</v>
      </c>
      <c r="AD4" t="e">
        <f t="shared" ref="AD4:AD10" si="0">SUM(N4,Q4,T4,W4,Z4,AC4)</f>
        <v>#N/A</v>
      </c>
    </row>
    <row r="5" spans="1:31" x14ac:dyDescent="0.3">
      <c r="D5" t="e">
        <f>VLOOKUP(C5, Settings!$A$2:$C$9, 2, TRUE)</f>
        <v>#N/A</v>
      </c>
      <c r="E5" t="e">
        <f>VLOOKUP(C5, Settings!$A$2:$C$9, 3, TRUE)</f>
        <v>#N/A</v>
      </c>
      <c r="G5" t="e">
        <f>VLOOKUP(F5, Settings!$A$2:$C$9, 2, TRUE)</f>
        <v>#N/A</v>
      </c>
      <c r="H5" t="e">
        <f>VLOOKUP(F5, Settings!$A$2:$C$9, 3, TRUE)</f>
        <v>#N/A</v>
      </c>
      <c r="J5" t="e">
        <f>VLOOKUP(I5, Settings!$A$2:$C$9, 2, TRUE)</f>
        <v>#N/A</v>
      </c>
      <c r="K5" t="e">
        <f>VLOOKUP(I5, Settings!$A$2:$C$9, 3, TRUE)</f>
        <v>#N/A</v>
      </c>
      <c r="M5" t="e">
        <f>VLOOKUP(L5, Settings!$A$2:$C$9, 2, TRUE)</f>
        <v>#N/A</v>
      </c>
      <c r="N5" t="e">
        <f>VLOOKUP(L5, Settings!$A$2:$C$9, 3, TRUE)</f>
        <v>#N/A</v>
      </c>
      <c r="P5" t="e">
        <f>VLOOKUP(O5, Settings!$A$2:$C$9, 2, TRUE)</f>
        <v>#N/A</v>
      </c>
      <c r="Q5" t="e">
        <f>VLOOKUP(O5, Settings!$A$2:$C$9, 3, TRUE)</f>
        <v>#N/A</v>
      </c>
      <c r="S5" t="e">
        <f>VLOOKUP(R5, Settings!$A$2:$C$9, 2, TRUE)</f>
        <v>#N/A</v>
      </c>
      <c r="T5" t="e">
        <f>VLOOKUP(R5, Settings!$A$2:$C$9, 3, TRUE)</f>
        <v>#N/A</v>
      </c>
      <c r="V5" t="e">
        <f>VLOOKUP(U5, Settings!$A$2:$C$9, 2, TRUE)</f>
        <v>#N/A</v>
      </c>
      <c r="W5" t="e">
        <f>VLOOKUP(U5, Settings!$A$2:$C$9, 3, TRUE)</f>
        <v>#N/A</v>
      </c>
      <c r="Y5" t="e">
        <f>VLOOKUP(X5, Settings!$A$2:$C$9, 2, TRUE)</f>
        <v>#N/A</v>
      </c>
      <c r="Z5" t="e">
        <f>VLOOKUP(X5, Settings!$A$2:$C$9, 3, TRUE)</f>
        <v>#N/A</v>
      </c>
      <c r="AB5" t="e">
        <f>VLOOKUP(AA5, Settings!$A$2:$C$9, 2, TRUE)</f>
        <v>#N/A</v>
      </c>
      <c r="AC5" t="e">
        <f>VLOOKUP(AA5, Settings!$A$2:$C$9, 3, TRUE)</f>
        <v>#N/A</v>
      </c>
      <c r="AD5" t="e">
        <f t="shared" si="0"/>
        <v>#N/A</v>
      </c>
    </row>
    <row r="6" spans="1:31" x14ac:dyDescent="0.3">
      <c r="D6" t="e">
        <f>VLOOKUP(C6, Settings!$A$2:$C$9, 2, TRUE)</f>
        <v>#N/A</v>
      </c>
      <c r="E6" t="e">
        <f>VLOOKUP(C6, Settings!$A$2:$C$9, 3, TRUE)</f>
        <v>#N/A</v>
      </c>
      <c r="G6" t="e">
        <f>VLOOKUP(F6, Settings!$A$2:$C$9, 2, TRUE)</f>
        <v>#N/A</v>
      </c>
      <c r="H6" t="e">
        <f>VLOOKUP(F6, Settings!$A$2:$C$9, 3, TRUE)</f>
        <v>#N/A</v>
      </c>
      <c r="J6" t="e">
        <f>VLOOKUP(I6, Settings!$A$2:$C$9, 2, TRUE)</f>
        <v>#N/A</v>
      </c>
      <c r="K6" t="e">
        <f>VLOOKUP(I6, Settings!$A$2:$C$9, 3, TRUE)</f>
        <v>#N/A</v>
      </c>
      <c r="M6" t="e">
        <f>VLOOKUP(L6, Settings!$A$2:$C$9, 2, TRUE)</f>
        <v>#N/A</v>
      </c>
      <c r="N6" t="e">
        <f>VLOOKUP(L6, Settings!$A$2:$C$9, 3, TRUE)</f>
        <v>#N/A</v>
      </c>
      <c r="P6" t="e">
        <f>VLOOKUP(O6, Settings!$A$2:$C$9, 2, TRUE)</f>
        <v>#N/A</v>
      </c>
      <c r="Q6" t="e">
        <f>VLOOKUP(O6, Settings!$A$2:$C$9, 3, TRUE)</f>
        <v>#N/A</v>
      </c>
      <c r="S6" t="e">
        <f>VLOOKUP(R6, Settings!$A$2:$C$9, 2, TRUE)</f>
        <v>#N/A</v>
      </c>
      <c r="T6" t="e">
        <f>VLOOKUP(R6, Settings!$A$2:$C$9, 3, TRUE)</f>
        <v>#N/A</v>
      </c>
      <c r="V6" t="e">
        <f>VLOOKUP(U6, Settings!$A$2:$C$9, 2, TRUE)</f>
        <v>#N/A</v>
      </c>
      <c r="W6" t="e">
        <f>VLOOKUP(U6, Settings!$A$2:$C$9, 3, TRUE)</f>
        <v>#N/A</v>
      </c>
      <c r="Y6" t="e">
        <f>VLOOKUP(X6, Settings!$A$2:$C$9, 2, TRUE)</f>
        <v>#N/A</v>
      </c>
      <c r="Z6" t="e">
        <f>VLOOKUP(X6, Settings!$A$2:$C$9, 3, TRUE)</f>
        <v>#N/A</v>
      </c>
      <c r="AB6" t="e">
        <f>VLOOKUP(AA6, Settings!$A$2:$C$9, 2, TRUE)</f>
        <v>#N/A</v>
      </c>
      <c r="AC6" t="e">
        <f>VLOOKUP(AA6, Settings!$A$2:$C$9, 3, TRUE)</f>
        <v>#N/A</v>
      </c>
      <c r="AD6" t="e">
        <f t="shared" si="0"/>
        <v>#N/A</v>
      </c>
    </row>
    <row r="7" spans="1:31" x14ac:dyDescent="0.3">
      <c r="D7" t="e">
        <f>VLOOKUP(C7, Settings!$A$2:$C$9, 2, TRUE)</f>
        <v>#N/A</v>
      </c>
      <c r="E7" t="e">
        <f>VLOOKUP(C7, Settings!$A$2:$C$9, 3, TRUE)</f>
        <v>#N/A</v>
      </c>
      <c r="G7" t="e">
        <f>VLOOKUP(F7, Settings!$A$2:$C$9, 2, TRUE)</f>
        <v>#N/A</v>
      </c>
      <c r="H7" t="e">
        <f>VLOOKUP(F7, Settings!$A$2:$C$9, 3, TRUE)</f>
        <v>#N/A</v>
      </c>
      <c r="J7" t="e">
        <f>VLOOKUP(I7, Settings!$A$2:$C$9, 2, TRUE)</f>
        <v>#N/A</v>
      </c>
      <c r="K7" t="e">
        <f>VLOOKUP(I7, Settings!$A$2:$C$9, 3, TRUE)</f>
        <v>#N/A</v>
      </c>
      <c r="M7" t="e">
        <f>VLOOKUP(L7, Settings!$A$2:$C$9, 2, TRUE)</f>
        <v>#N/A</v>
      </c>
      <c r="N7" t="e">
        <f>VLOOKUP(L7, Settings!$A$2:$C$9, 3, TRUE)</f>
        <v>#N/A</v>
      </c>
      <c r="P7" t="e">
        <f>VLOOKUP(O7, Settings!$A$2:$C$9, 2, TRUE)</f>
        <v>#N/A</v>
      </c>
      <c r="Q7" t="e">
        <f>VLOOKUP(O7, Settings!$A$2:$C$9, 3, TRUE)</f>
        <v>#N/A</v>
      </c>
      <c r="S7" t="e">
        <f>VLOOKUP(R7, Settings!$A$2:$C$9, 2, TRUE)</f>
        <v>#N/A</v>
      </c>
      <c r="T7" t="e">
        <f>VLOOKUP(R7, Settings!$A$2:$C$9, 3, TRUE)</f>
        <v>#N/A</v>
      </c>
      <c r="V7" t="e">
        <f>VLOOKUP(U7, Settings!$A$2:$C$9, 2, TRUE)</f>
        <v>#N/A</v>
      </c>
      <c r="W7" t="e">
        <f>VLOOKUP(U7, Settings!$A$2:$C$9, 3, TRUE)</f>
        <v>#N/A</v>
      </c>
      <c r="Y7" t="e">
        <f>VLOOKUP(X7, Settings!$A$2:$C$9, 2, TRUE)</f>
        <v>#N/A</v>
      </c>
      <c r="Z7" t="e">
        <f>VLOOKUP(X7, Settings!$A$2:$C$9, 3, TRUE)</f>
        <v>#N/A</v>
      </c>
      <c r="AB7" t="e">
        <f>VLOOKUP(AA7, Settings!$A$2:$C$9, 2, TRUE)</f>
        <v>#N/A</v>
      </c>
      <c r="AC7" t="e">
        <f>VLOOKUP(AA7, Settings!$A$2:$C$9, 3, TRUE)</f>
        <v>#N/A</v>
      </c>
      <c r="AD7" t="e">
        <f t="shared" si="0"/>
        <v>#N/A</v>
      </c>
    </row>
    <row r="8" spans="1:31" x14ac:dyDescent="0.3">
      <c r="D8" t="e">
        <f>VLOOKUP(C8, Settings!$A$2:$C$9, 2, TRUE)</f>
        <v>#N/A</v>
      </c>
      <c r="E8" t="e">
        <f>VLOOKUP(C8, Settings!$A$2:$C$9, 3, TRUE)</f>
        <v>#N/A</v>
      </c>
      <c r="G8" t="e">
        <f>VLOOKUP(F8, Settings!$A$2:$C$9, 2, TRUE)</f>
        <v>#N/A</v>
      </c>
      <c r="H8" t="e">
        <f>VLOOKUP(F8, Settings!$A$2:$C$9, 3, TRUE)</f>
        <v>#N/A</v>
      </c>
      <c r="J8" t="e">
        <f>VLOOKUP(I8, Settings!$A$2:$C$9, 2, TRUE)</f>
        <v>#N/A</v>
      </c>
      <c r="K8" t="e">
        <f>VLOOKUP(I8, Settings!$A$2:$C$9, 3, TRUE)</f>
        <v>#N/A</v>
      </c>
      <c r="M8" t="e">
        <f>VLOOKUP(L8, Settings!$A$2:$C$9, 2, TRUE)</f>
        <v>#N/A</v>
      </c>
      <c r="N8" t="e">
        <f>VLOOKUP(L8, Settings!$A$2:$C$9, 3, TRUE)</f>
        <v>#N/A</v>
      </c>
      <c r="P8" t="e">
        <f>VLOOKUP(O8, Settings!$A$2:$C$9, 2, TRUE)</f>
        <v>#N/A</v>
      </c>
      <c r="Q8" t="e">
        <f>VLOOKUP(O8, Settings!$A$2:$C$9, 3, TRUE)</f>
        <v>#N/A</v>
      </c>
      <c r="S8" t="e">
        <f>VLOOKUP(R8, Settings!$A$2:$C$9, 2, TRUE)</f>
        <v>#N/A</v>
      </c>
      <c r="T8" t="e">
        <f>VLOOKUP(R8, Settings!$A$2:$C$9, 3, TRUE)</f>
        <v>#N/A</v>
      </c>
      <c r="V8" t="e">
        <f>VLOOKUP(U8, Settings!$A$2:$C$9, 2, TRUE)</f>
        <v>#N/A</v>
      </c>
      <c r="W8" t="e">
        <f>VLOOKUP(U8, Settings!$A$2:$C$9, 3, TRUE)</f>
        <v>#N/A</v>
      </c>
      <c r="Y8" t="e">
        <f>VLOOKUP(X8, Settings!$A$2:$C$9, 2, TRUE)</f>
        <v>#N/A</v>
      </c>
      <c r="Z8" t="e">
        <f>VLOOKUP(X8, Settings!$A$2:$C$9, 3, TRUE)</f>
        <v>#N/A</v>
      </c>
      <c r="AB8" t="e">
        <f>VLOOKUP(AA8, Settings!$A$2:$C$9, 2, TRUE)</f>
        <v>#N/A</v>
      </c>
      <c r="AC8" t="e">
        <f>VLOOKUP(AA8, Settings!$A$2:$C$9, 3, TRUE)</f>
        <v>#N/A</v>
      </c>
      <c r="AD8" t="e">
        <f t="shared" si="0"/>
        <v>#N/A</v>
      </c>
    </row>
    <row r="9" spans="1:31" x14ac:dyDescent="0.3">
      <c r="D9" t="e">
        <f>VLOOKUP(C9, Settings!$A$2:$C$9, 2, TRUE)</f>
        <v>#N/A</v>
      </c>
      <c r="E9" t="e">
        <f>VLOOKUP(C9, Settings!$A$2:$C$9, 3, TRUE)</f>
        <v>#N/A</v>
      </c>
      <c r="G9" t="e">
        <f>VLOOKUP(F9, Settings!$A$2:$C$9, 2, TRUE)</f>
        <v>#N/A</v>
      </c>
      <c r="H9" t="e">
        <f>VLOOKUP(F9, Settings!$A$2:$C$9, 3, TRUE)</f>
        <v>#N/A</v>
      </c>
      <c r="J9" t="e">
        <f>VLOOKUP(I9, Settings!$A$2:$C$9, 2, TRUE)</f>
        <v>#N/A</v>
      </c>
      <c r="K9" t="e">
        <f>VLOOKUP(I9, Settings!$A$2:$C$9, 3, TRUE)</f>
        <v>#N/A</v>
      </c>
      <c r="M9" t="e">
        <f>VLOOKUP(L9, Settings!$A$2:$C$9, 2, TRUE)</f>
        <v>#N/A</v>
      </c>
      <c r="N9" t="e">
        <f>VLOOKUP(L9, Settings!$A$2:$C$9, 3, TRUE)</f>
        <v>#N/A</v>
      </c>
      <c r="P9" t="e">
        <f>VLOOKUP(O9, Settings!$A$2:$C$9, 2, TRUE)</f>
        <v>#N/A</v>
      </c>
      <c r="Q9" t="e">
        <f>VLOOKUP(O9, Settings!$A$2:$C$9, 3, TRUE)</f>
        <v>#N/A</v>
      </c>
      <c r="S9" t="e">
        <f>VLOOKUP(R9, Settings!$A$2:$C$9, 2, TRUE)</f>
        <v>#N/A</v>
      </c>
      <c r="T9" t="e">
        <f>VLOOKUP(R9, Settings!$A$2:$C$9, 3, TRUE)</f>
        <v>#N/A</v>
      </c>
      <c r="V9" t="e">
        <f>VLOOKUP(U9, Settings!$A$2:$C$9, 2, TRUE)</f>
        <v>#N/A</v>
      </c>
      <c r="W9" t="e">
        <f>VLOOKUP(U9, Settings!$A$2:$C$9, 3, TRUE)</f>
        <v>#N/A</v>
      </c>
      <c r="Y9" t="e">
        <f>VLOOKUP(X9, Settings!$A$2:$C$9, 2, TRUE)</f>
        <v>#N/A</v>
      </c>
      <c r="Z9" t="e">
        <f>VLOOKUP(X9, Settings!$A$2:$C$9, 3, TRUE)</f>
        <v>#N/A</v>
      </c>
      <c r="AB9" t="e">
        <f>VLOOKUP(AA9, Settings!$A$2:$C$9, 2, TRUE)</f>
        <v>#N/A</v>
      </c>
      <c r="AC9" t="e">
        <f>VLOOKUP(AA9, Settings!$A$2:$C$9, 3, TRUE)</f>
        <v>#N/A</v>
      </c>
      <c r="AD9" t="e">
        <f t="shared" si="0"/>
        <v>#N/A</v>
      </c>
    </row>
    <row r="10" spans="1:31" x14ac:dyDescent="0.3">
      <c r="D10" t="e">
        <f>VLOOKUP(C10, Settings!$A$2:$C$9, 2, TRUE)</f>
        <v>#N/A</v>
      </c>
      <c r="E10" t="e">
        <f>VLOOKUP(C10, Settings!$A$2:$C$9, 3, TRUE)</f>
        <v>#N/A</v>
      </c>
      <c r="G10" t="e">
        <f>VLOOKUP(F10, Settings!$A$2:$C$9, 2, TRUE)</f>
        <v>#N/A</v>
      </c>
      <c r="H10" t="e">
        <f>VLOOKUP(F10, Settings!$A$2:$C$9, 3, TRUE)</f>
        <v>#N/A</v>
      </c>
      <c r="J10" t="e">
        <f>VLOOKUP(I10, Settings!$A$2:$C$9, 2, TRUE)</f>
        <v>#N/A</v>
      </c>
      <c r="K10" t="e">
        <f>VLOOKUP(I10, Settings!$A$2:$C$9, 3, TRUE)</f>
        <v>#N/A</v>
      </c>
      <c r="M10" t="e">
        <f>VLOOKUP(L10, Settings!$A$2:$C$9, 2, TRUE)</f>
        <v>#N/A</v>
      </c>
      <c r="N10" t="e">
        <f>VLOOKUP(L10, Settings!$A$2:$C$9, 3, TRUE)</f>
        <v>#N/A</v>
      </c>
      <c r="P10" t="e">
        <f>VLOOKUP(O10, Settings!$A$2:$C$9, 2, TRUE)</f>
        <v>#N/A</v>
      </c>
      <c r="Q10" t="e">
        <f>VLOOKUP(O10, Settings!$A$2:$C$9, 3, TRUE)</f>
        <v>#N/A</v>
      </c>
      <c r="S10" t="e">
        <f>VLOOKUP(R10, Settings!$A$2:$C$9, 2, TRUE)</f>
        <v>#N/A</v>
      </c>
      <c r="T10" t="e">
        <f>VLOOKUP(R10, Settings!$A$2:$C$9, 3, TRUE)</f>
        <v>#N/A</v>
      </c>
      <c r="V10" t="e">
        <f>VLOOKUP(U10, Settings!$A$2:$C$9, 2, TRUE)</f>
        <v>#N/A</v>
      </c>
      <c r="W10" t="e">
        <f>VLOOKUP(U10, Settings!$A$2:$C$9, 3, TRUE)</f>
        <v>#N/A</v>
      </c>
      <c r="Y10" t="e">
        <f>VLOOKUP(X10, Settings!$A$2:$C$9, 2, TRUE)</f>
        <v>#N/A</v>
      </c>
      <c r="Z10" t="e">
        <f>VLOOKUP(X10, Settings!$A$2:$C$9, 3, TRUE)</f>
        <v>#N/A</v>
      </c>
      <c r="AB10" t="e">
        <f>VLOOKUP(AA10, Settings!$A$2:$C$9, 2, TRUE)</f>
        <v>#N/A</v>
      </c>
      <c r="AC10" t="e">
        <f>VLOOKUP(AA10, Settings!$A$2:$C$9, 3, TRUE)</f>
        <v>#N/A</v>
      </c>
      <c r="AD10" t="e">
        <f t="shared" si="0"/>
        <v>#N/A</v>
      </c>
    </row>
  </sheetData>
  <mergeCells count="9">
    <mergeCell ref="U1:W1"/>
    <mergeCell ref="X1:Z1"/>
    <mergeCell ref="AA1:AC1"/>
    <mergeCell ref="C1:E1"/>
    <mergeCell ref="F1:H1"/>
    <mergeCell ref="I1:K1"/>
    <mergeCell ref="L1:N1"/>
    <mergeCell ref="O1:Q1"/>
    <mergeCell ref="R1:T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C6" sqref="C6"/>
    </sheetView>
  </sheetViews>
  <sheetFormatPr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showGridLines="0" showRowColHeaders="0" tabSelected="1" workbookViewId="0">
      <selection activeCell="D32" sqref="D32"/>
    </sheetView>
  </sheetViews>
  <sheetFormatPr defaultRowHeight="14.4" x14ac:dyDescent="0.3"/>
  <cols>
    <col min="1" max="16384" width="8.88671875" style="15"/>
  </cols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Registry!</vt:lpstr>
      <vt:lpstr>Settings</vt:lpstr>
      <vt:lpstr>Mark_Entry</vt:lpstr>
      <vt:lpstr>cLOUD_DATA</vt:lpstr>
      <vt:lpstr>HOME</vt:lpstr>
      <vt:lpstr>REPORTS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Ezekiel Essendi</dc:creator>
  <cp:lastModifiedBy>Ezekiel Essendi</cp:lastModifiedBy>
  <dcterms:created xsi:type="dcterms:W3CDTF">2026-03-29T09:52:09Z</dcterms:created>
  <dcterms:modified xsi:type="dcterms:W3CDTF">2026-03-29T20:18:26Z</dcterms:modified>
</cp:coreProperties>
</file>